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esar\Documents\"/>
    </mc:Choice>
  </mc:AlternateContent>
  <bookViews>
    <workbookView xWindow="0" yWindow="0" windowWidth="23016" windowHeight="9168"/>
  </bookViews>
  <sheets>
    <sheet name="Cartera" sheetId="1" r:id="rId1"/>
    <sheet name="Boletin" sheetId="2" r:id="rId2"/>
    <sheet name="Imagen" sheetId="3" r:id="rId3"/>
    <sheet name="Nuevo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2" l="1"/>
  <c r="A9" i="2"/>
  <c r="A8" i="2"/>
  <c r="A7" i="2"/>
  <c r="A6" i="2"/>
  <c r="A5" i="2"/>
  <c r="A4" i="2"/>
  <c r="A3" i="2"/>
  <c r="A2" i="2"/>
  <c r="F3" i="1"/>
  <c r="F4" i="1"/>
  <c r="F5" i="1"/>
  <c r="F6" i="1"/>
  <c r="F7" i="1"/>
  <c r="F8" i="1"/>
  <c r="F9" i="1"/>
  <c r="F10" i="1"/>
  <c r="F2" i="1"/>
</calcChain>
</file>

<file path=xl/sharedStrings.xml><?xml version="1.0" encoding="utf-8"?>
<sst xmlns="http://schemas.openxmlformats.org/spreadsheetml/2006/main" count="44" uniqueCount="32">
  <si>
    <t>Num_Id</t>
  </si>
  <si>
    <t>Cliente</t>
  </si>
  <si>
    <t># de Factura</t>
  </si>
  <si>
    <t>Fecha vcto.</t>
  </si>
  <si>
    <t>Fecha docto.</t>
  </si>
  <si>
    <t>Días venc.</t>
  </si>
  <si>
    <t>Saldo Factura</t>
  </si>
  <si>
    <t>Celular</t>
  </si>
  <si>
    <t>FVE-456879</t>
  </si>
  <si>
    <t>FVE-546312</t>
  </si>
  <si>
    <t>FVE-174285</t>
  </si>
  <si>
    <t>FVE-528396</t>
  </si>
  <si>
    <t>FVE-195847</t>
  </si>
  <si>
    <t>FVE-195623</t>
  </si>
  <si>
    <t>FVE-396825</t>
  </si>
  <si>
    <t>FVE-123654</t>
  </si>
  <si>
    <t>FVE-784560</t>
  </si>
  <si>
    <t>https://www.youtube.com/watch?v=ygnWt3GtZ7o</t>
  </si>
  <si>
    <t>https://www.youtube.com/watch?v=OGrz5BhJkBk</t>
  </si>
  <si>
    <t>Cartera</t>
  </si>
  <si>
    <t>Interlínea</t>
  </si>
  <si>
    <t>https://www.youtube.com/watch?v=2O3zIt--NxQ&amp;list=PLqOpVv5irrTxTvKvQzLXAXxdCCIZZR1Ed&amp;index=3</t>
  </si>
  <si>
    <t>Agregar imagen</t>
  </si>
  <si>
    <t>César Alexander Moreira</t>
  </si>
  <si>
    <t>Mariela Alexandra Tarqui</t>
  </si>
  <si>
    <t>Xavier Alejandro Moreira</t>
  </si>
  <si>
    <t>Diego Moreira Ramírez</t>
  </si>
  <si>
    <t>Isabel Moreira Ramírez</t>
  </si>
  <si>
    <t>Ariana Tarqui Luna</t>
  </si>
  <si>
    <t>Cristina Germán Villamar</t>
  </si>
  <si>
    <t>Diego Vásquez Moreira</t>
  </si>
  <si>
    <t>María Zulema Moreira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</si>
</sst>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77938</xdr:colOff>
      <xdr:row>4</xdr:row>
      <xdr:rowOff>45720</xdr:rowOff>
    </xdr:from>
    <xdr:to>
      <xdr:col>9</xdr:col>
      <xdr:colOff>45720</xdr:colOff>
      <xdr:row>8</xdr:row>
      <xdr:rowOff>30480</xdr:rowOff>
    </xdr:to>
    <xdr:pic macro="[0]!envioCartera">
      <xdr:nvPicPr>
        <xdr:cNvPr id="3" name="Imagen 2" descr="Whatsapp Ios Icono PNG transparente - Stick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17" t="20478" r="25698" b="21160"/>
        <a:stretch/>
      </xdr:blipFill>
      <xdr:spPr bwMode="auto">
        <a:xfrm>
          <a:off x="6913078" y="777240"/>
          <a:ext cx="760262" cy="716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106680</xdr:colOff>
      <xdr:row>3</xdr:row>
      <xdr:rowOff>144780</xdr:rowOff>
    </xdr:from>
    <xdr:to>
      <xdr:col>4</xdr:col>
      <xdr:colOff>74462</xdr:colOff>
      <xdr:row>7</xdr:row>
      <xdr:rowOff>129540</xdr:rowOff>
    </xdr:to>
    <xdr:pic macro="[0]!envioImagen">
      <xdr:nvPicPr>
        <xdr:cNvPr id="2" name="Imagen 1" descr="Whatsapp Ios Icono PNG transparente - Stick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17" t="20478" r="25698" b="21160"/>
        <a:stretch/>
      </xdr:blipFill>
      <xdr:spPr bwMode="auto">
        <a:xfrm>
          <a:off x="3169920" y="693420"/>
          <a:ext cx="760262" cy="716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304800</xdr:colOff>
      <xdr:row>28</xdr:row>
      <xdr:rowOff>70880</xdr:rowOff>
    </xdr:to>
    <xdr:pic>
      <xdr:nvPicPr>
        <xdr:cNvPr id="2" name="Imagen 1" descr="Boletín informativo - Qué es, definición y concepto | 2022 | Economipedia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74720" cy="5191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Cartera" displayName="Cartera" ref="A1:H10" totalsRowShown="0">
  <autoFilter ref="A1:H10"/>
  <tableColumns count="8">
    <tableColumn id="1" name="Num_Id"/>
    <tableColumn id="2" name="Cliente"/>
    <tableColumn id="3" name="# de Factura"/>
    <tableColumn id="4" name="Fecha docto." dataDxfId="1"/>
    <tableColumn id="5" name="Fecha vcto." dataDxfId="0"/>
    <tableColumn id="6" name="Días venc.">
      <calculatedColumnFormula>D2-E2</calculatedColumnFormula>
    </tableColumn>
    <tableColumn id="7" name="Saldo Factura"/>
    <tableColumn id="8" name="Celula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" displayName="BD" ref="A1:C10" totalsRowShown="0">
  <autoFilter ref="A1:C10"/>
  <tableColumns count="3">
    <tableColumn id="1" name="Num_Id">
      <calculatedColumnFormula>Cartera[[#This Row],[Num_Id]]</calculatedColumnFormula>
    </tableColumn>
    <tableColumn id="2" name="Cliente"/>
    <tableColumn id="3" name="Celul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7"/>
  <sheetViews>
    <sheetView tabSelected="1" zoomScaleNormal="100" workbookViewId="0"/>
  </sheetViews>
  <sheetFormatPr baseColWidth="10" defaultRowHeight="14.4" x14ac:dyDescent="0.3"/>
  <cols>
    <col min="2" max="2" width="21.5546875" bestFit="1" customWidth="1"/>
    <col min="3" max="3" width="13.109375" customWidth="1"/>
    <col min="4" max="4" width="13.6640625" customWidth="1"/>
    <col min="5" max="5" width="12.44140625" customWidth="1"/>
    <col min="7" max="7" width="14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</row>
    <row r="2" spans="1:8" x14ac:dyDescent="0.3">
      <c r="A2">
        <v>1</v>
      </c>
      <c r="B2" t="s">
        <v>24</v>
      </c>
      <c r="C2" t="s">
        <v>8</v>
      </c>
      <c r="D2" s="1">
        <v>44791</v>
      </c>
      <c r="E2" s="1">
        <v>44472</v>
      </c>
      <c r="F2">
        <f>D2-E2</f>
        <v>319</v>
      </c>
      <c r="G2">
        <v>150</v>
      </c>
      <c r="H2">
        <v>986029371</v>
      </c>
    </row>
    <row r="3" spans="1:8" x14ac:dyDescent="0.3">
      <c r="A3">
        <v>2</v>
      </c>
      <c r="B3" t="s">
        <v>23</v>
      </c>
      <c r="C3" t="s">
        <v>16</v>
      </c>
      <c r="D3" s="1">
        <v>44757</v>
      </c>
      <c r="E3" s="1">
        <v>44454</v>
      </c>
      <c r="F3">
        <f t="shared" ref="F3:F10" si="0">D3-E3</f>
        <v>303</v>
      </c>
      <c r="G3">
        <v>200</v>
      </c>
      <c r="H3">
        <v>985012740</v>
      </c>
    </row>
    <row r="4" spans="1:8" x14ac:dyDescent="0.3">
      <c r="A4">
        <v>3</v>
      </c>
      <c r="B4" t="s">
        <v>25</v>
      </c>
      <c r="C4" t="s">
        <v>9</v>
      </c>
      <c r="D4" s="1">
        <v>44787</v>
      </c>
      <c r="E4" s="1">
        <v>44451</v>
      </c>
      <c r="F4">
        <f t="shared" si="0"/>
        <v>336</v>
      </c>
      <c r="G4">
        <v>300</v>
      </c>
      <c r="H4">
        <v>987466443</v>
      </c>
    </row>
    <row r="5" spans="1:8" x14ac:dyDescent="0.3">
      <c r="A5">
        <v>4</v>
      </c>
      <c r="B5" t="s">
        <v>28</v>
      </c>
      <c r="C5" t="s">
        <v>10</v>
      </c>
      <c r="D5" s="1">
        <v>44816</v>
      </c>
      <c r="E5" s="1">
        <v>44550</v>
      </c>
      <c r="F5">
        <f t="shared" si="0"/>
        <v>266</v>
      </c>
      <c r="G5">
        <v>100</v>
      </c>
      <c r="H5">
        <v>993258778</v>
      </c>
    </row>
    <row r="6" spans="1:8" x14ac:dyDescent="0.3">
      <c r="A6">
        <v>5</v>
      </c>
      <c r="B6" t="s">
        <v>27</v>
      </c>
      <c r="C6" t="s">
        <v>11</v>
      </c>
      <c r="D6" s="1">
        <v>44824</v>
      </c>
      <c r="E6" s="1">
        <v>44511</v>
      </c>
      <c r="F6">
        <f t="shared" si="0"/>
        <v>313</v>
      </c>
      <c r="G6">
        <v>245</v>
      </c>
      <c r="H6">
        <v>994185801</v>
      </c>
    </row>
    <row r="7" spans="1:8" x14ac:dyDescent="0.3">
      <c r="A7">
        <v>6</v>
      </c>
      <c r="B7" t="s">
        <v>26</v>
      </c>
      <c r="C7" t="s">
        <v>12</v>
      </c>
      <c r="D7" s="1">
        <v>44815</v>
      </c>
      <c r="E7" s="1">
        <v>44422</v>
      </c>
      <c r="F7">
        <f t="shared" si="0"/>
        <v>393</v>
      </c>
      <c r="G7">
        <v>500</v>
      </c>
      <c r="H7">
        <v>994461754</v>
      </c>
    </row>
    <row r="8" spans="1:8" x14ac:dyDescent="0.3">
      <c r="A8">
        <v>7</v>
      </c>
      <c r="B8" t="s">
        <v>29</v>
      </c>
      <c r="C8" t="s">
        <v>13</v>
      </c>
      <c r="D8" s="1">
        <v>44817</v>
      </c>
      <c r="E8" s="1">
        <v>44476</v>
      </c>
      <c r="F8">
        <f t="shared" si="0"/>
        <v>341</v>
      </c>
      <c r="G8">
        <v>480</v>
      </c>
      <c r="H8">
        <v>986894137</v>
      </c>
    </row>
    <row r="9" spans="1:8" x14ac:dyDescent="0.3">
      <c r="A9">
        <v>8</v>
      </c>
      <c r="B9" t="s">
        <v>30</v>
      </c>
      <c r="C9" t="s">
        <v>14</v>
      </c>
      <c r="D9" s="1">
        <v>44752</v>
      </c>
      <c r="E9" s="1">
        <v>44420</v>
      </c>
      <c r="F9">
        <f t="shared" si="0"/>
        <v>332</v>
      </c>
      <c r="G9">
        <v>725</v>
      </c>
      <c r="H9">
        <v>963412334</v>
      </c>
    </row>
    <row r="10" spans="1:8" x14ac:dyDescent="0.3">
      <c r="A10">
        <v>9</v>
      </c>
      <c r="B10" t="s">
        <v>31</v>
      </c>
      <c r="C10" t="s">
        <v>15</v>
      </c>
      <c r="D10" s="1">
        <v>44789</v>
      </c>
      <c r="E10" s="1">
        <v>44671</v>
      </c>
      <c r="F10">
        <f t="shared" si="0"/>
        <v>118</v>
      </c>
      <c r="G10">
        <v>825</v>
      </c>
      <c r="H10">
        <v>995326341</v>
      </c>
    </row>
    <row r="14" spans="1:8" x14ac:dyDescent="0.3">
      <c r="A14" t="s">
        <v>17</v>
      </c>
      <c r="E14" t="s">
        <v>19</v>
      </c>
    </row>
    <row r="15" spans="1:8" x14ac:dyDescent="0.3">
      <c r="A15" t="s">
        <v>18</v>
      </c>
      <c r="E15" t="s">
        <v>20</v>
      </c>
    </row>
    <row r="17" spans="1:8" x14ac:dyDescent="0.3">
      <c r="A17" t="s">
        <v>21</v>
      </c>
      <c r="H17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0"/>
  <sheetViews>
    <sheetView workbookViewId="0">
      <selection activeCell="K9" sqref="K9"/>
    </sheetView>
  </sheetViews>
  <sheetFormatPr baseColWidth="10" defaultRowHeight="14.4" x14ac:dyDescent="0.3"/>
  <cols>
    <col min="2" max="2" width="21.5546875" bestFit="1" customWidth="1"/>
  </cols>
  <sheetData>
    <row r="1" spans="1:3" x14ac:dyDescent="0.3">
      <c r="A1" t="s">
        <v>0</v>
      </c>
      <c r="B1" t="s">
        <v>1</v>
      </c>
      <c r="C1" t="s">
        <v>7</v>
      </c>
    </row>
    <row r="2" spans="1:3" x14ac:dyDescent="0.3">
      <c r="A2">
        <f>Cartera[[#This Row],[Num_Id]]</f>
        <v>1</v>
      </c>
      <c r="B2" t="s">
        <v>24</v>
      </c>
      <c r="C2">
        <v>986029371</v>
      </c>
    </row>
    <row r="3" spans="1:3" x14ac:dyDescent="0.3">
      <c r="A3">
        <f>Cartera[[#This Row],[Num_Id]]</f>
        <v>2</v>
      </c>
      <c r="B3" t="s">
        <v>23</v>
      </c>
      <c r="C3">
        <v>985012740</v>
      </c>
    </row>
    <row r="4" spans="1:3" x14ac:dyDescent="0.3">
      <c r="A4">
        <f>Cartera[[#This Row],[Num_Id]]</f>
        <v>3</v>
      </c>
      <c r="B4" t="s">
        <v>25</v>
      </c>
      <c r="C4">
        <v>987466443</v>
      </c>
    </row>
    <row r="5" spans="1:3" x14ac:dyDescent="0.3">
      <c r="A5">
        <f>Cartera[[#This Row],[Num_Id]]</f>
        <v>4</v>
      </c>
      <c r="B5" t="s">
        <v>28</v>
      </c>
      <c r="C5">
        <v>993258778</v>
      </c>
    </row>
    <row r="6" spans="1:3" x14ac:dyDescent="0.3">
      <c r="A6">
        <f>Cartera[[#This Row],[Num_Id]]</f>
        <v>5</v>
      </c>
      <c r="B6" t="s">
        <v>27</v>
      </c>
      <c r="C6">
        <v>994185801</v>
      </c>
    </row>
    <row r="7" spans="1:3" x14ac:dyDescent="0.3">
      <c r="A7">
        <f>Cartera[[#This Row],[Num_Id]]</f>
        <v>6</v>
      </c>
      <c r="B7" t="s">
        <v>26</v>
      </c>
      <c r="C7">
        <v>994461754</v>
      </c>
    </row>
    <row r="8" spans="1:3" x14ac:dyDescent="0.3">
      <c r="A8">
        <f>Cartera[[#This Row],[Num_Id]]</f>
        <v>7</v>
      </c>
      <c r="B8" t="s">
        <v>29</v>
      </c>
      <c r="C8">
        <v>986894137</v>
      </c>
    </row>
    <row r="9" spans="1:3" x14ac:dyDescent="0.3">
      <c r="A9">
        <f>Cartera[[#This Row],[Num_Id]]</f>
        <v>8</v>
      </c>
      <c r="B9" t="s">
        <v>30</v>
      </c>
      <c r="C9">
        <v>963412334</v>
      </c>
    </row>
    <row r="10" spans="1:3" x14ac:dyDescent="0.3">
      <c r="A10">
        <f>Cartera[[#This Row],[Num_Id]]</f>
        <v>9</v>
      </c>
      <c r="B10" t="s">
        <v>31</v>
      </c>
      <c r="C10">
        <v>995326341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Cartera</vt:lpstr>
      <vt:lpstr>Boletin</vt:lpstr>
      <vt:lpstr>Imagen</vt:lpstr>
      <vt:lpstr>Nuevos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Moreira Ramírez</dc:creator>
  <cp:lastModifiedBy>César Moreira Ramírez</cp:lastModifiedBy>
  <dcterms:created xsi:type="dcterms:W3CDTF">2022-09-27T04:28:33Z</dcterms:created>
  <dcterms:modified xsi:type="dcterms:W3CDTF">2022-09-30T16:31:09Z</dcterms:modified>
</cp:coreProperties>
</file>